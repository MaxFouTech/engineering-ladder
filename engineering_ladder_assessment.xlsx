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g 1" sheetId="2" state="visible" r:id="rId2"/>
    <sheet xmlns:r="http://schemas.openxmlformats.org/officeDocument/2006/relationships" name="Rung 2" sheetId="3" state="visible" r:id="rId3"/>
    <sheet xmlns:r="http://schemas.openxmlformats.org/officeDocument/2006/relationships" name="Rung 3" sheetId="4" state="visible" r:id="rId4"/>
    <sheet xmlns:r="http://schemas.openxmlformats.org/officeDocument/2006/relationships" name="Rung 4" sheetId="5" state="visible" r:id="rId5"/>
    <sheet xmlns:r="http://schemas.openxmlformats.org/officeDocument/2006/relationships" name="Rung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i val="1"/>
      <color rgb="001F3864"/>
      <sz val="11"/>
    </font>
    <font>
      <b val="1"/>
      <color rgb="00000000"/>
      <sz val="10"/>
    </font>
    <font>
      <sz val="10"/>
    </font>
    <font>
      <b val="1"/>
      <color rgb="001F3864"/>
      <sz val="14"/>
    </font>
    <font>
      <b val="1"/>
      <color rgb="001F3864"/>
      <sz val="11"/>
    </font>
    <font>
      <b val="1"/>
      <color rgb="002E75B6"/>
      <sz val="12"/>
    </font>
    <font>
      <b val="1"/>
      <color rgb="001F3864"/>
      <sz val="10"/>
    </font>
    <font>
      <color rgb="001F3864"/>
      <sz val="11"/>
    </font>
    <font>
      <b val="1"/>
      <color rgb="00FFFFFF"/>
      <sz val="16"/>
    </font>
    <font>
      <i val="1"/>
      <color rgb="001F3864"/>
      <sz val="10"/>
    </font>
    <font>
      <sz val="12"/>
    </font>
    <font>
      <b val="1"/>
      <sz val="10"/>
    </font>
    <font>
      <b val="1"/>
      <sz val="11"/>
    </font>
    <font>
      <b val="1"/>
      <sz val="12"/>
    </font>
    <font>
      <b val="1"/>
      <color rgb="001F3864"/>
      <sz val="16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FF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2" borderId="1" applyAlignment="1" pivotButton="0" quotePrefix="0" xfId="0">
      <alignment vertical="center"/>
    </xf>
    <xf numFmtId="0" fontId="0" fillId="2" borderId="1" pivotButton="0" quotePrefix="0" xfId="0"/>
    <xf numFmtId="0" fontId="14" fillId="10" borderId="1" applyAlignment="1" pivotButton="0" quotePrefix="0" xfId="0">
      <alignment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vertical="center"/>
    </xf>
    <xf numFmtId="0" fontId="1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9" fontId="16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vertical="center"/>
    </xf>
    <xf numFmtId="0" fontId="1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9" fontId="16" fillId="9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9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3" fillId="4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8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9" fontId="9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top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5" customWidth="1" min="5" max="5"/>
    <col width="30" customWidth="1" min="6" max="6"/>
  </cols>
  <sheetData>
    <row r="1" ht="40" customHeight="1">
      <c r="A1" s="1" t="inlineStr">
        <is>
          <t>Engineering Ladder Assessment — Summary</t>
        </is>
      </c>
      <c r="B1" s="2" t="n"/>
      <c r="C1" s="2" t="n"/>
      <c r="D1" s="2" t="n"/>
      <c r="E1" s="2" t="n"/>
      <c r="F1" s="2" t="n"/>
    </row>
    <row r="2" ht="25" customHeight="1">
      <c r="A2" s="3" t="inlineStr">
        <is>
          <t>Based on "The CTO's New Engineering Ladder" by Etienne de Bruin (March 2026)</t>
        </is>
      </c>
      <c r="B2" s="4" t="n"/>
      <c r="C2" s="4" t="n"/>
      <c r="D2" s="4" t="n"/>
      <c r="E2" s="4" t="n"/>
      <c r="F2" s="4" t="n"/>
    </row>
    <row r="4" ht="30" customHeight="1">
      <c r="A4" s="5" t="inlineStr">
        <is>
          <t>Engineer Name:</t>
        </is>
      </c>
      <c r="B4" s="6" t="n"/>
      <c r="C4" s="7" t="n"/>
      <c r="D4" s="8" t="n"/>
      <c r="E4" s="8" t="n"/>
      <c r="F4" s="8" t="n"/>
    </row>
    <row r="5" ht="30" customHeight="1">
      <c r="A5" s="5" t="inlineStr">
        <is>
          <t>Review Date:</t>
        </is>
      </c>
      <c r="B5" s="6" t="n"/>
      <c r="C5" s="7" t="n"/>
      <c r="D5" s="8" t="n"/>
      <c r="E5" s="8" t="n"/>
      <c r="F5" s="8" t="n"/>
    </row>
    <row r="7" ht="30" customHeight="1">
      <c r="A7" s="9" t="inlineStr">
        <is>
          <t>Rung</t>
        </is>
      </c>
      <c r="B7" s="9" t="inlineStr">
        <is>
          <t>Score</t>
        </is>
      </c>
      <c r="C7" s="9" t="inlineStr">
        <is>
          <t>Max Score</t>
        </is>
      </c>
      <c r="D7" s="9" t="inlineStr">
        <is>
          <t>Percentage</t>
        </is>
      </c>
      <c r="E7" s="9" t="inlineStr">
        <is>
          <t>Salary Range</t>
        </is>
      </c>
      <c r="F7" s="9" t="inlineStr">
        <is>
          <t>Status</t>
        </is>
      </c>
    </row>
    <row r="8" ht="28" customHeight="1">
      <c r="A8" s="10" t="inlineStr">
        <is>
          <t>1: The Apprentice</t>
        </is>
      </c>
      <c r="B8" s="11">
        <f>'Rung 1'!B13</f>
        <v/>
      </c>
      <c r="C8" s="12" t="n">
        <v>28</v>
      </c>
      <c r="D8" s="13">
        <f>IF(B8=0,"",B8/C8)</f>
        <v/>
      </c>
      <c r="E8" s="12" t="inlineStr">
        <is>
          <t>$85K–$120K</t>
        </is>
      </c>
      <c r="F8" s="12">
        <f>IF(D8="","Not assessed",IF(D8&gt;=0.75,"Strong",IF(D8&gt;=0.5,"Developing","Needs growth")))</f>
        <v/>
      </c>
    </row>
    <row r="9" ht="28" customHeight="1">
      <c r="A9" s="14" t="inlineStr">
        <is>
          <t>2: The Builder</t>
        </is>
      </c>
      <c r="B9" s="15">
        <f>'Rung 2'!B13</f>
        <v/>
      </c>
      <c r="C9" s="16" t="n">
        <v>28</v>
      </c>
      <c r="D9" s="17">
        <f>IF(B9=0,"",B9/C9)</f>
        <v/>
      </c>
      <c r="E9" s="16" t="inlineStr">
        <is>
          <t>$120K–$155K</t>
        </is>
      </c>
      <c r="F9" s="16">
        <f>IF(D9="","Not assessed",IF(D9&gt;=0.75,"Strong",IF(D9&gt;=0.5,"Developing","Needs growth")))</f>
        <v/>
      </c>
    </row>
    <row r="10" ht="28" customHeight="1">
      <c r="A10" s="10" t="inlineStr">
        <is>
          <t>3: The Architect</t>
        </is>
      </c>
      <c r="B10" s="11">
        <f>'Rung 3'!B13</f>
        <v/>
      </c>
      <c r="C10" s="12" t="n">
        <v>28</v>
      </c>
      <c r="D10" s="13">
        <f>IF(B10=0,"",B10/C10)</f>
        <v/>
      </c>
      <c r="E10" s="12" t="inlineStr">
        <is>
          <t>$155K–$210K</t>
        </is>
      </c>
      <c r="F10" s="12">
        <f>IF(D10="","Not assessed",IF(D10&gt;=0.75,"Strong",IF(D10&gt;=0.5,"Developing","Needs growth")))</f>
        <v/>
      </c>
    </row>
    <row r="11" ht="28" customHeight="1">
      <c r="A11" s="14" t="inlineStr">
        <is>
          <t>4: The Multiplier</t>
        </is>
      </c>
      <c r="B11" s="15">
        <f>'Rung 4'!B13</f>
        <v/>
      </c>
      <c r="C11" s="16" t="n">
        <v>28</v>
      </c>
      <c r="D11" s="17">
        <f>IF(B11=0,"",B11/C11)</f>
        <v/>
      </c>
      <c r="E11" s="16" t="inlineStr">
        <is>
          <t>$210K–$300K</t>
        </is>
      </c>
      <c r="F11" s="16">
        <f>IF(D11="","Not assessed",IF(D11&gt;=0.75,"Strong",IF(D11&gt;=0.5,"Developing","Needs growth")))</f>
        <v/>
      </c>
    </row>
    <row r="12" ht="28" customHeight="1">
      <c r="A12" s="10" t="inlineStr">
        <is>
          <t>5: The Strategist</t>
        </is>
      </c>
      <c r="B12" s="11">
        <f>'Rung 5'!B13</f>
        <v/>
      </c>
      <c r="C12" s="12" t="n">
        <v>28</v>
      </c>
      <c r="D12" s="13">
        <f>IF(B12=0,"",B12/C12)</f>
        <v/>
      </c>
      <c r="E12" s="12" t="inlineStr">
        <is>
          <t>$280K–$450K+</t>
        </is>
      </c>
      <c r="F12" s="12">
        <f>IF(D12="","Not assessed",IF(D12&gt;=0.75,"Strong",IF(D12&gt;=0.5,"Developing","Needs growth")))</f>
        <v/>
      </c>
    </row>
    <row r="13" ht="32" customHeight="1">
      <c r="A13" s="18" t="inlineStr">
        <is>
          <t>OVERALL TOTAL</t>
        </is>
      </c>
      <c r="B13" s="19">
        <f>SUM(B8:B12)</f>
        <v/>
      </c>
      <c r="C13" s="20">
        <f>SUM(C8:C12)</f>
        <v/>
      </c>
      <c r="D13" s="21">
        <f>IF(B13=0,"",B13/C13)</f>
        <v/>
      </c>
      <c r="E13" s="22" t="n"/>
      <c r="F13" s="22" t="n"/>
    </row>
    <row r="15" ht="40" customHeight="1">
      <c r="A15" s="23" t="inlineStr">
        <is>
          <t>FINAL RUNG LEVEL</t>
        </is>
      </c>
      <c r="B15" s="2" t="n"/>
      <c r="C15" s="24">
        <f>IF(D12="","Not yet assessed",IF(D12&gt;=0.75,"Rung 5: The Strategist",IF(D11&gt;=0.75,"Rung 4: The Multiplier",IF(D10&gt;=0.75,"Rung 3: The Architect",IF(D9&gt;=0.75,"Rung 2: The Builder",IF(D8&gt;=0.75,"Rung 1: The Apprentice","Below Rung 1 — Focus on Apprentice behaviors"))))))</f>
        <v/>
      </c>
      <c r="D15" s="25" t="n"/>
      <c r="E15" s="25" t="n"/>
      <c r="F15" s="25" t="n"/>
    </row>
    <row r="17" ht="25" customHeight="1">
      <c r="A17" s="26" t="inlineStr">
        <is>
          <t>How to Use This Assessment</t>
        </is>
      </c>
      <c r="B17" s="4" t="n"/>
      <c r="C17" s="4" t="n"/>
      <c r="D17" s="4" t="n"/>
      <c r="E17" s="4" t="n"/>
      <c r="F17" s="4" t="n"/>
    </row>
    <row r="18" ht="22" customHeight="1">
      <c r="A18" s="27" t="inlineStr">
        <is>
          <t>1. Fill in each Rung tab by marking the appropriate score column (type any value, e.g. 'X') for each behavior.</t>
        </is>
      </c>
      <c r="B18" s="8" t="n"/>
      <c r="C18" s="8" t="n"/>
      <c r="D18" s="8" t="n"/>
      <c r="E18" s="8" t="n"/>
      <c r="F18" s="8" t="n"/>
    </row>
    <row r="19" ht="22" customHeight="1">
      <c r="A19" s="27" t="inlineStr">
        <is>
          <t>2. Score: 1 = Not Yet, 2 = Emerging, 3 = Consistent, 4 = Exemplary. Only mark ONE column per behavior.</t>
        </is>
      </c>
      <c r="B19" s="8" t="n"/>
      <c r="C19" s="8" t="n"/>
      <c r="D19" s="8" t="n"/>
      <c r="E19" s="8" t="n"/>
      <c r="F19" s="8" t="n"/>
    </row>
    <row r="20" ht="22" customHeight="1">
      <c r="A20" s="27" t="inlineStr">
        <is>
          <t>3. The Summary tab auto-calculates scores, percentages, and determines the Final Rung Level.</t>
        </is>
      </c>
      <c r="B20" s="8" t="n"/>
      <c r="C20" s="8" t="n"/>
      <c r="D20" s="8" t="n"/>
      <c r="E20" s="8" t="n"/>
      <c r="F20" s="8" t="n"/>
    </row>
    <row r="21" ht="22" customHeight="1">
      <c r="A21" s="27" t="inlineStr">
        <is>
          <t>4. Final Rung Level = highest rung where the engineer scores ≥ 75%.</t>
        </is>
      </c>
      <c r="B21" s="8" t="n"/>
      <c r="C21" s="8" t="n"/>
      <c r="D21" s="8" t="n"/>
      <c r="E21" s="8" t="n"/>
      <c r="F21" s="8" t="n"/>
    </row>
    <row r="22" ht="22" customHeight="1">
      <c r="A22" s="27" t="inlineStr">
        <is>
          <t>5. Use the Manager's Notes column and 1:1 Notes section for qualitative observations.</t>
        </is>
      </c>
      <c r="B22" s="8" t="n"/>
      <c r="C22" s="8" t="n"/>
      <c r="D22" s="8" t="n"/>
      <c r="E22" s="8" t="n"/>
      <c r="F22" s="8" t="n"/>
    </row>
    <row r="23" ht="22" customHeight="1">
      <c r="A23" s="27" t="inlineStr">
        <is>
          <t>6. Review promotion signals at the bottom of each rung to assess readiness for the next level.</t>
        </is>
      </c>
      <c r="B23" s="8" t="n"/>
      <c r="C23" s="8" t="n"/>
      <c r="D23" s="8" t="n"/>
      <c r="E23" s="8" t="n"/>
      <c r="F23" s="8" t="n"/>
    </row>
  </sheetData>
  <mergeCells count="15">
    <mergeCell ref="A4:B4"/>
    <mergeCell ref="A2:F2"/>
    <mergeCell ref="A15:B15"/>
    <mergeCell ref="A19:F19"/>
    <mergeCell ref="C4:F4"/>
    <mergeCell ref="A1:F1"/>
    <mergeCell ref="A23:F23"/>
    <mergeCell ref="A5:B5"/>
    <mergeCell ref="A22:F22"/>
    <mergeCell ref="C15:F15"/>
    <mergeCell ref="A17:F17"/>
    <mergeCell ref="A18:F18"/>
    <mergeCell ref="A20:F20"/>
    <mergeCell ref="C5:F5"/>
    <mergeCell ref="A21:F2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 ht="30" customHeight="1">
      <c r="A1" s="28" t="inlineStr">
        <is>
          <t>Engineer Name:</t>
        </is>
      </c>
      <c r="B1" s="4" t="n"/>
      <c r="C1" s="4" t="n"/>
      <c r="D1" s="4" t="n"/>
      <c r="E1" s="4" t="n"/>
      <c r="F1" s="4" t="n"/>
    </row>
    <row r="2" ht="25" customHeight="1">
      <c r="A2" s="29" t="inlineStr">
        <is>
          <t>Review Date:</t>
        </is>
      </c>
      <c r="B2" s="4" t="n"/>
      <c r="C2" s="4" t="n"/>
      <c r="D2" s="4" t="n"/>
      <c r="E2" s="4" t="n"/>
      <c r="F2" s="4" t="n"/>
    </row>
    <row r="3" ht="35" customHeight="1">
      <c r="A3" s="23" t="inlineStr">
        <is>
          <t>Rung 1: The Apprentice   formerly Junior Engineer   $85K–$120K</t>
        </is>
      </c>
      <c r="B3" s="2" t="n"/>
      <c r="C3" s="2" t="n"/>
      <c r="D3" s="2" t="n"/>
      <c r="E3" s="2" t="n"/>
      <c r="F3" s="2" t="n"/>
    </row>
    <row r="4" ht="28" customHeight="1">
      <c r="A4" s="30" t="inlineStr">
        <is>
          <t>Their question: Why might this output be wrong?</t>
        </is>
      </c>
      <c r="B4" s="4" t="n"/>
      <c r="C4" s="4" t="n"/>
      <c r="D4" s="4" t="n"/>
      <c r="E4" s="4" t="n"/>
      <c r="F4" s="4" t="n"/>
    </row>
    <row r="5" ht="35" customHeight="1">
      <c r="A5" s="9" t="inlineStr">
        <is>
          <t>Observable Behavior</t>
        </is>
      </c>
      <c r="B5" s="31" t="inlineStr">
        <is>
          <t>1
Not Yet</t>
        </is>
      </c>
      <c r="C5" s="32" t="inlineStr">
        <is>
          <t>2
Emerging</t>
        </is>
      </c>
      <c r="D5" s="33" t="inlineStr">
        <is>
          <t>3
Consistent</t>
        </is>
      </c>
      <c r="E5" s="34" t="inlineStr">
        <is>
          <t>4
Exemplary</t>
        </is>
      </c>
      <c r="F5" s="9" t="inlineStr">
        <is>
          <t>Manager's Notes</t>
        </is>
      </c>
    </row>
    <row r="6" ht="50" customHeight="1">
      <c r="A6" s="35" t="inlineStr">
        <is>
          <t>Flags inconsistencies in code before merging</t>
        </is>
      </c>
      <c r="B6" s="12" t="n"/>
      <c r="C6" s="12" t="n"/>
      <c r="D6" s="12" t="n"/>
      <c r="E6" s="12" t="n"/>
      <c r="F6" s="35" t="n"/>
    </row>
    <row r="7" ht="50" customHeight="1">
      <c r="A7" s="36" t="inlineStr">
        <is>
          <t>Asks for context before shipping features</t>
        </is>
      </c>
      <c r="B7" s="16" t="n"/>
      <c r="C7" s="16" t="n"/>
      <c r="D7" s="16" t="n"/>
      <c r="E7" s="16" t="n"/>
      <c r="F7" s="36" t="n"/>
    </row>
    <row r="8" ht="50" customHeight="1">
      <c r="A8" s="35" t="inlineStr">
        <is>
          <t>Escalates uncertainty rather than guessing through it</t>
        </is>
      </c>
      <c r="B8" s="12" t="n"/>
      <c r="C8" s="12" t="n"/>
      <c r="D8" s="12" t="n"/>
      <c r="E8" s="12" t="n"/>
      <c r="F8" s="35" t="n"/>
    </row>
    <row r="9" ht="50" customHeight="1">
      <c r="A9" s="36" t="inlineStr">
        <is>
          <t>Pull requests include questions, not just solutions</t>
        </is>
      </c>
      <c r="B9" s="16" t="n"/>
      <c r="C9" s="16" t="n"/>
      <c r="D9" s="16" t="n"/>
      <c r="E9" s="16" t="n"/>
      <c r="F9" s="36" t="n"/>
    </row>
    <row r="10" ht="50" customHeight="1">
      <c r="A10" s="35" t="inlineStr">
        <is>
          <t>Builds original features and writes real code</t>
        </is>
      </c>
      <c r="B10" s="12" t="n"/>
      <c r="C10" s="12" t="n"/>
      <c r="D10" s="12" t="n"/>
      <c r="E10" s="12" t="n"/>
      <c r="F10" s="35" t="n"/>
    </row>
    <row r="11" ht="50" customHeight="1">
      <c r="A11" s="36" t="inlineStr">
        <is>
          <t>Interrogates AI-assisted output — their own and others'</t>
        </is>
      </c>
      <c r="B11" s="16" t="n"/>
      <c r="C11" s="16" t="n"/>
      <c r="D11" s="16" t="n"/>
      <c r="E11" s="16" t="n"/>
      <c r="F11" s="36" t="n"/>
    </row>
    <row r="12" ht="50" customHeight="1">
      <c r="A12" s="35" t="inlineStr">
        <is>
          <t>Can explain why AI-generated code will fail in a specific production scenario</t>
        </is>
      </c>
      <c r="B12" s="12" t="n"/>
      <c r="C12" s="12" t="n"/>
      <c r="D12" s="12" t="n"/>
      <c r="E12" s="12" t="n"/>
      <c r="F12" s="35" t="n"/>
    </row>
    <row r="13" ht="30" customHeight="1">
      <c r="A13" s="37" t="inlineStr">
        <is>
          <t>TOTAL SCORE</t>
        </is>
      </c>
      <c r="B13" s="19">
        <f>IF(E6&lt;&gt;"",4,IF(D6&lt;&gt;"",3,IF(C6&lt;&gt;"",2,IF(B6&lt;&gt;"",1,0))))+IF(E7&lt;&gt;"",4,IF(D7&lt;&gt;"",3,IF(C7&lt;&gt;"",2,IF(B7&lt;&gt;"",1,0))))+IF(E8&lt;&gt;"",4,IF(D8&lt;&gt;"",3,IF(C8&lt;&gt;"",2,IF(B8&lt;&gt;"",1,0))))+IF(E9&lt;&gt;"",4,IF(D9&lt;&gt;"",3,IF(C9&lt;&gt;"",2,IF(B9&lt;&gt;"",1,0))))+IF(E10&lt;&gt;"",4,IF(D10&lt;&gt;"",3,IF(C10&lt;&gt;"",2,IF(B10&lt;&gt;"",1,0))))+IF(E11&lt;&gt;"",4,IF(D11&lt;&gt;"",3,IF(C11&lt;&gt;"",2,IF(B11&lt;&gt;"",1,0))))+IF(E12&lt;&gt;"",4,IF(D12&lt;&gt;"",3,IF(C12&lt;&gt;"",2,IF(B12&lt;&gt;"",1,0))))</f>
        <v/>
      </c>
      <c r="F13" s="38" t="inlineStr">
        <is>
          <t>out of 28</t>
        </is>
      </c>
    </row>
    <row r="14" ht="25" customHeight="1">
      <c r="A14" s="29" t="inlineStr">
        <is>
          <t>RUNG SCORE %</t>
        </is>
      </c>
      <c r="B14" s="39">
        <f>IF(B13=0,"",B13/28)</f>
        <v/>
      </c>
      <c r="F14" s="8" t="n"/>
    </row>
    <row r="16" ht="45" customHeight="1">
      <c r="A16" s="40" t="inlineStr">
        <is>
          <t>Promotion signal: Can explain why AI-generated code will fail in production. Has shipped something end-to-end with minimal guidance. Postmortem was more insightful than expected.</t>
        </is>
      </c>
      <c r="B16" s="4" t="n"/>
      <c r="C16" s="4" t="n"/>
      <c r="D16" s="4" t="n"/>
      <c r="E16" s="4" t="n"/>
      <c r="F16" s="4" t="n"/>
    </row>
    <row r="17" ht="30" customHeight="1">
      <c r="A17" s="41" t="inlineStr">
        <is>
          <t>Ready to promote?   ☐ Not yet   ☐ On track   ☐ Ready now</t>
        </is>
      </c>
      <c r="B17" s="8" t="n"/>
      <c r="C17" s="8" t="n"/>
      <c r="D17" s="8" t="n"/>
      <c r="E17" s="8" t="n"/>
      <c r="F17" s="8" t="n"/>
    </row>
    <row r="18" ht="80" customHeight="1">
      <c r="A18" s="42" t="inlineStr">
        <is>
          <t>1:1 Notes:</t>
        </is>
      </c>
      <c r="B18" s="43" t="n"/>
      <c r="C18" s="43" t="n"/>
      <c r="D18" s="43" t="n"/>
      <c r="E18" s="43" t="n"/>
      <c r="F18" s="43" t="n"/>
    </row>
  </sheetData>
  <mergeCells count="9">
    <mergeCell ref="A2:F2"/>
    <mergeCell ref="A16:F16"/>
    <mergeCell ref="B13:E13"/>
    <mergeCell ref="A1:F1"/>
    <mergeCell ref="A17:F17"/>
    <mergeCell ref="A18:F18"/>
    <mergeCell ref="A4:F4"/>
    <mergeCell ref="A3:F3"/>
    <mergeCell ref="B14:E1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 ht="30" customHeight="1">
      <c r="A1" s="28" t="inlineStr">
        <is>
          <t>Engineer Name:</t>
        </is>
      </c>
      <c r="B1" s="4" t="n"/>
      <c r="C1" s="4" t="n"/>
      <c r="D1" s="4" t="n"/>
      <c r="E1" s="4" t="n"/>
      <c r="F1" s="4" t="n"/>
    </row>
    <row r="2" ht="25" customHeight="1">
      <c r="A2" s="29" t="inlineStr">
        <is>
          <t>Review Date:</t>
        </is>
      </c>
      <c r="B2" s="4" t="n"/>
      <c r="C2" s="4" t="n"/>
      <c r="D2" s="4" t="n"/>
      <c r="E2" s="4" t="n"/>
      <c r="F2" s="4" t="n"/>
    </row>
    <row r="3" ht="35" customHeight="1">
      <c r="A3" s="23" t="inlineStr">
        <is>
          <t>Rung 2: The Builder   formerly Mid-Level Engineer   $120K–$155K</t>
        </is>
      </c>
      <c r="B3" s="2" t="n"/>
      <c r="C3" s="2" t="n"/>
      <c r="D3" s="2" t="n"/>
      <c r="E3" s="2" t="n"/>
      <c r="F3" s="2" t="n"/>
    </row>
    <row r="4" ht="28" customHeight="1">
      <c r="A4" s="30" t="inlineStr">
        <is>
          <t>Their question: What is this feature protecting the company from?</t>
        </is>
      </c>
      <c r="B4" s="4" t="n"/>
      <c r="C4" s="4" t="n"/>
      <c r="D4" s="4" t="n"/>
      <c r="E4" s="4" t="n"/>
      <c r="F4" s="4" t="n"/>
    </row>
    <row r="5" ht="35" customHeight="1">
      <c r="A5" s="9" t="inlineStr">
        <is>
          <t>Observable Behavior</t>
        </is>
      </c>
      <c r="B5" s="31" t="inlineStr">
        <is>
          <t>1
Not Yet</t>
        </is>
      </c>
      <c r="C5" s="32" t="inlineStr">
        <is>
          <t>2
Emerging</t>
        </is>
      </c>
      <c r="D5" s="33" t="inlineStr">
        <is>
          <t>3
Consistent</t>
        </is>
      </c>
      <c r="E5" s="34" t="inlineStr">
        <is>
          <t>4
Exemplary</t>
        </is>
      </c>
      <c r="F5" s="9" t="inlineStr">
        <is>
          <t>Manager's Notes</t>
        </is>
      </c>
    </row>
    <row r="6" ht="50" customHeight="1">
      <c r="A6" s="35" t="inlineStr">
        <is>
          <t>Owns a feature end-to-end: definition of done, edge cases, monitoring, customer impact</t>
        </is>
      </c>
      <c r="B6" s="12" t="n"/>
      <c r="C6" s="12" t="n"/>
      <c r="D6" s="12" t="n"/>
      <c r="E6" s="12" t="n"/>
      <c r="F6" s="35" t="n"/>
    </row>
    <row r="7" ht="50" customHeight="1">
      <c r="A7" s="36" t="inlineStr">
        <is>
          <t>Knows when to throw away AI-generated scaffolding and start again</t>
        </is>
      </c>
      <c r="B7" s="16" t="n"/>
      <c r="C7" s="16" t="n"/>
      <c r="D7" s="16" t="n"/>
      <c r="E7" s="16" t="n"/>
      <c r="F7" s="36" t="n"/>
    </row>
    <row r="8" ht="50" customHeight="1">
      <c r="A8" s="35" t="inlineStr">
        <is>
          <t>Writes specs or design docs before prompting — thinks before building</t>
        </is>
      </c>
      <c r="B8" s="12" t="n"/>
      <c r="C8" s="12" t="n"/>
      <c r="D8" s="12" t="n"/>
      <c r="E8" s="12" t="n"/>
      <c r="F8" s="35" t="n"/>
    </row>
    <row r="9" ht="50" customHeight="1">
      <c r="A9" s="36" t="inlineStr">
        <is>
          <t>Proactively identifies problems that nobody assigned them</t>
        </is>
      </c>
      <c r="B9" s="16" t="n"/>
      <c r="C9" s="16" t="n"/>
      <c r="D9" s="16" t="n"/>
      <c r="E9" s="16" t="n"/>
      <c r="F9" s="36" t="n"/>
    </row>
    <row r="10" ht="50" customHeight="1">
      <c r="A10" s="35" t="inlineStr">
        <is>
          <t>Technical decisions reference company goals without being prompted</t>
        </is>
      </c>
      <c r="B10" s="12" t="n"/>
      <c r="C10" s="12" t="n"/>
      <c r="D10" s="12" t="n"/>
      <c r="E10" s="12" t="n"/>
      <c r="F10" s="35" t="n"/>
    </row>
    <row r="11" ht="50" customHeight="1">
      <c r="A11" s="36" t="inlineStr">
        <is>
          <t>Understands what's upstream and downstream of the feature they're building</t>
        </is>
      </c>
      <c r="B11" s="16" t="n"/>
      <c r="C11" s="16" t="n"/>
      <c r="D11" s="16" t="n"/>
      <c r="E11" s="16" t="n"/>
      <c r="F11" s="36" t="n"/>
    </row>
    <row r="12" ht="50" customHeight="1">
      <c r="A12" s="35" t="inlineStr">
        <is>
          <t>Has mentored an Apprentice visibly and with measurable result</t>
        </is>
      </c>
      <c r="B12" s="12" t="n"/>
      <c r="C12" s="12" t="n"/>
      <c r="D12" s="12" t="n"/>
      <c r="E12" s="12" t="n"/>
      <c r="F12" s="35" t="n"/>
    </row>
    <row r="13" ht="30" customHeight="1">
      <c r="A13" s="37" t="inlineStr">
        <is>
          <t>TOTAL SCORE</t>
        </is>
      </c>
      <c r="B13" s="19">
        <f>IF(E6&lt;&gt;"",4,IF(D6&lt;&gt;"",3,IF(C6&lt;&gt;"",2,IF(B6&lt;&gt;"",1,0))))+IF(E7&lt;&gt;"",4,IF(D7&lt;&gt;"",3,IF(C7&lt;&gt;"",2,IF(B7&lt;&gt;"",1,0))))+IF(E8&lt;&gt;"",4,IF(D8&lt;&gt;"",3,IF(C8&lt;&gt;"",2,IF(B8&lt;&gt;"",1,0))))+IF(E9&lt;&gt;"",4,IF(D9&lt;&gt;"",3,IF(C9&lt;&gt;"",2,IF(B9&lt;&gt;"",1,0))))+IF(E10&lt;&gt;"",4,IF(D10&lt;&gt;"",3,IF(C10&lt;&gt;"",2,IF(B10&lt;&gt;"",1,0))))+IF(E11&lt;&gt;"",4,IF(D11&lt;&gt;"",3,IF(C11&lt;&gt;"",2,IF(B11&lt;&gt;"",1,0))))+IF(E12&lt;&gt;"",4,IF(D12&lt;&gt;"",3,IF(C12&lt;&gt;"",2,IF(B12&lt;&gt;"",1,0))))</f>
        <v/>
      </c>
      <c r="F13" s="38" t="inlineStr">
        <is>
          <t>out of 28</t>
        </is>
      </c>
    </row>
    <row r="14" ht="25" customHeight="1">
      <c r="A14" s="29" t="inlineStr">
        <is>
          <t>RUNG SCORE %</t>
        </is>
      </c>
      <c r="B14" s="39">
        <f>IF(B13=0,"",B13/28)</f>
        <v/>
      </c>
      <c r="F14" s="8" t="n"/>
    </row>
    <row r="16" ht="45" customHeight="1">
      <c r="A16" s="40" t="inlineStr">
        <is>
          <t>Promotion signal: Has resolved an unassigned problem. Has mentored successfully. Can connect a technical decision to a business outcome without prompting. Doesn't need tickets to know what matters.</t>
        </is>
      </c>
      <c r="B16" s="4" t="n"/>
      <c r="C16" s="4" t="n"/>
      <c r="D16" s="4" t="n"/>
      <c r="E16" s="4" t="n"/>
      <c r="F16" s="4" t="n"/>
    </row>
    <row r="17" ht="30" customHeight="1">
      <c r="A17" s="41" t="inlineStr">
        <is>
          <t>Ready to promote?   ☐ Not yet   ☐ On track   ☐ Ready now</t>
        </is>
      </c>
      <c r="B17" s="8" t="n"/>
      <c r="C17" s="8" t="n"/>
      <c r="D17" s="8" t="n"/>
      <c r="E17" s="8" t="n"/>
      <c r="F17" s="8" t="n"/>
    </row>
    <row r="18" ht="80" customHeight="1">
      <c r="A18" s="42" t="inlineStr">
        <is>
          <t>1:1 Notes:</t>
        </is>
      </c>
      <c r="B18" s="43" t="n"/>
      <c r="C18" s="43" t="n"/>
      <c r="D18" s="43" t="n"/>
      <c r="E18" s="43" t="n"/>
      <c r="F18" s="43" t="n"/>
    </row>
  </sheetData>
  <mergeCells count="9">
    <mergeCell ref="A2:F2"/>
    <mergeCell ref="A16:F16"/>
    <mergeCell ref="B13:E13"/>
    <mergeCell ref="A1:F1"/>
    <mergeCell ref="A17:F17"/>
    <mergeCell ref="A18:F18"/>
    <mergeCell ref="A4:F4"/>
    <mergeCell ref="A3:F3"/>
    <mergeCell ref="B14:E1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 ht="30" customHeight="1">
      <c r="A1" s="28" t="inlineStr">
        <is>
          <t>Engineer Name:</t>
        </is>
      </c>
      <c r="B1" s="4" t="n"/>
      <c r="C1" s="4" t="n"/>
      <c r="D1" s="4" t="n"/>
      <c r="E1" s="4" t="n"/>
      <c r="F1" s="4" t="n"/>
    </row>
    <row r="2" ht="25" customHeight="1">
      <c r="A2" s="29" t="inlineStr">
        <is>
          <t>Review Date:</t>
        </is>
      </c>
      <c r="B2" s="4" t="n"/>
      <c r="C2" s="4" t="n"/>
      <c r="D2" s="4" t="n"/>
      <c r="E2" s="4" t="n"/>
      <c r="F2" s="4" t="n"/>
    </row>
    <row r="3" ht="35" customHeight="1">
      <c r="A3" s="23" t="inlineStr">
        <is>
          <t>Rung 3: The Architect   formerly Senior Engineer   $155K–$210K</t>
        </is>
      </c>
      <c r="B3" s="2" t="n"/>
      <c r="C3" s="2" t="n"/>
      <c r="D3" s="2" t="n"/>
      <c r="E3" s="2" t="n"/>
      <c r="F3" s="2" t="n"/>
    </row>
    <row r="4" ht="28" customHeight="1">
      <c r="A4" s="30" t="inlineStr">
        <is>
          <t>Their question: What does this decision cost us in six months?</t>
        </is>
      </c>
      <c r="B4" s="4" t="n"/>
      <c r="C4" s="4" t="n"/>
      <c r="D4" s="4" t="n"/>
      <c r="E4" s="4" t="n"/>
      <c r="F4" s="4" t="n"/>
    </row>
    <row r="5" ht="35" customHeight="1">
      <c r="A5" s="9" t="inlineStr">
        <is>
          <t>Observable Behavior</t>
        </is>
      </c>
      <c r="B5" s="31" t="inlineStr">
        <is>
          <t>1
Not Yet</t>
        </is>
      </c>
      <c r="C5" s="32" t="inlineStr">
        <is>
          <t>2
Emerging</t>
        </is>
      </c>
      <c r="D5" s="33" t="inlineStr">
        <is>
          <t>3
Consistent</t>
        </is>
      </c>
      <c r="E5" s="34" t="inlineStr">
        <is>
          <t>4
Exemplary</t>
        </is>
      </c>
      <c r="F5" s="9" t="inlineStr">
        <is>
          <t>Manager's Notes</t>
        </is>
      </c>
    </row>
    <row r="6" ht="50" customHeight="1">
      <c r="A6" s="35" t="inlineStr">
        <is>
          <t>Walks into cross-functional conversations with answers before questions are finished</t>
        </is>
      </c>
      <c r="B6" s="12" t="n"/>
      <c r="C6" s="12" t="n"/>
      <c r="D6" s="12" t="n"/>
      <c r="E6" s="12" t="n"/>
      <c r="F6" s="35" t="n"/>
    </row>
    <row r="7" ht="50" customHeight="1">
      <c r="A7" s="36" t="inlineStr">
        <is>
          <t>The C-Suite understands them — translates technical concepts for executives</t>
        </is>
      </c>
      <c r="B7" s="16" t="n"/>
      <c r="C7" s="16" t="n"/>
      <c r="D7" s="16" t="n"/>
      <c r="E7" s="16" t="n"/>
      <c r="F7" s="36" t="n"/>
    </row>
    <row r="8" ht="50" customHeight="1">
      <c r="A8" s="35" t="inlineStr">
        <is>
          <t>Technical instincts show up as financial clarity</t>
        </is>
      </c>
      <c r="B8" s="12" t="n"/>
      <c r="C8" s="12" t="n"/>
      <c r="D8" s="12" t="n"/>
      <c r="E8" s="12" t="n"/>
      <c r="F8" s="35" t="n"/>
    </row>
    <row r="9" ht="50" customHeight="1">
      <c r="A9" s="36" t="inlineStr">
        <is>
          <t>Translates technical debt into business cost without being asked</t>
        </is>
      </c>
      <c r="B9" s="16" t="n"/>
      <c r="C9" s="16" t="n"/>
      <c r="D9" s="16" t="n"/>
      <c r="E9" s="16" t="n"/>
      <c r="F9" s="36" t="n"/>
    </row>
    <row r="10" ht="50" customHeight="1">
      <c r="A10" s="35" t="inlineStr">
        <is>
          <t>Sees downstream consequences of decisions before anyone else</t>
        </is>
      </c>
      <c r="B10" s="12" t="n"/>
      <c r="C10" s="12" t="n"/>
      <c r="D10" s="12" t="n"/>
      <c r="E10" s="12" t="n"/>
      <c r="F10" s="35" t="n"/>
    </row>
    <row r="11" ht="50" customHeight="1">
      <c r="A11" s="36" t="inlineStr">
        <is>
          <t>Has improved the output quality of a team they don't manage</t>
        </is>
      </c>
      <c r="B11" s="16" t="n"/>
      <c r="C11" s="16" t="n"/>
      <c r="D11" s="16" t="n"/>
      <c r="E11" s="16" t="n"/>
      <c r="F11" s="36" t="n"/>
    </row>
    <row r="12" ht="50" customHeight="1">
      <c r="A12" s="35" t="inlineStr">
        <is>
          <t>Has driven a consequential build-vs-buy decision and can show the math</t>
        </is>
      </c>
      <c r="B12" s="12" t="n"/>
      <c r="C12" s="12" t="n"/>
      <c r="D12" s="12" t="n"/>
      <c r="E12" s="12" t="n"/>
      <c r="F12" s="35" t="n"/>
    </row>
    <row r="13" ht="30" customHeight="1">
      <c r="A13" s="37" t="inlineStr">
        <is>
          <t>TOTAL SCORE</t>
        </is>
      </c>
      <c r="B13" s="19">
        <f>IF(E6&lt;&gt;"",4,IF(D6&lt;&gt;"",3,IF(C6&lt;&gt;"",2,IF(B6&lt;&gt;"",1,0))))+IF(E7&lt;&gt;"",4,IF(D7&lt;&gt;"",3,IF(C7&lt;&gt;"",2,IF(B7&lt;&gt;"",1,0))))+IF(E8&lt;&gt;"",4,IF(D8&lt;&gt;"",3,IF(C8&lt;&gt;"",2,IF(B8&lt;&gt;"",1,0))))+IF(E9&lt;&gt;"",4,IF(D9&lt;&gt;"",3,IF(C9&lt;&gt;"",2,IF(B9&lt;&gt;"",1,0))))+IF(E10&lt;&gt;"",4,IF(D10&lt;&gt;"",3,IF(C10&lt;&gt;"",2,IF(B10&lt;&gt;"",1,0))))+IF(E11&lt;&gt;"",4,IF(D11&lt;&gt;"",3,IF(C11&lt;&gt;"",2,IF(B11&lt;&gt;"",1,0))))+IF(E12&lt;&gt;"",4,IF(D12&lt;&gt;"",3,IF(C12&lt;&gt;"",2,IF(B12&lt;&gt;"",1,0))))</f>
        <v/>
      </c>
      <c r="F13" s="38" t="inlineStr">
        <is>
          <t>out of 28</t>
        </is>
      </c>
    </row>
    <row r="14" ht="25" customHeight="1">
      <c r="A14" s="29" t="inlineStr">
        <is>
          <t>RUNG SCORE %</t>
        </is>
      </c>
      <c r="B14" s="39">
        <f>IF(B13=0,"",B13/28)</f>
        <v/>
      </c>
      <c r="F14" s="8" t="n"/>
    </row>
    <row r="16" ht="45" customHeight="1">
      <c r="A16" s="40" t="inlineStr">
        <is>
          <t>Promotion signal: Has demonstrably improved output quality of a team they don't manage. Has translated a technical risk into a business risk understood by a non-technical executive. Has driven a build-vs-buy decision with clear math.</t>
        </is>
      </c>
      <c r="B16" s="4" t="n"/>
      <c r="C16" s="4" t="n"/>
      <c r="D16" s="4" t="n"/>
      <c r="E16" s="4" t="n"/>
      <c r="F16" s="4" t="n"/>
    </row>
    <row r="17" ht="30" customHeight="1">
      <c r="A17" s="41" t="inlineStr">
        <is>
          <t>Ready to promote?   ☐ Not yet   ☐ On track   ☐ Ready now</t>
        </is>
      </c>
      <c r="B17" s="8" t="n"/>
      <c r="C17" s="8" t="n"/>
      <c r="D17" s="8" t="n"/>
      <c r="E17" s="8" t="n"/>
      <c r="F17" s="8" t="n"/>
    </row>
    <row r="18" ht="80" customHeight="1">
      <c r="A18" s="42" t="inlineStr">
        <is>
          <t>1:1 Notes:</t>
        </is>
      </c>
      <c r="B18" s="43" t="n"/>
      <c r="C18" s="43" t="n"/>
      <c r="D18" s="43" t="n"/>
      <c r="E18" s="43" t="n"/>
      <c r="F18" s="43" t="n"/>
    </row>
  </sheetData>
  <mergeCells count="9">
    <mergeCell ref="A2:F2"/>
    <mergeCell ref="A16:F16"/>
    <mergeCell ref="B13:E13"/>
    <mergeCell ref="A1:F1"/>
    <mergeCell ref="A17:F17"/>
    <mergeCell ref="A18:F18"/>
    <mergeCell ref="A4:F4"/>
    <mergeCell ref="A3:F3"/>
    <mergeCell ref="B14:E1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 ht="30" customHeight="1">
      <c r="A1" s="28" t="inlineStr">
        <is>
          <t>Engineer Name:</t>
        </is>
      </c>
      <c r="B1" s="4" t="n"/>
      <c r="C1" s="4" t="n"/>
      <c r="D1" s="4" t="n"/>
      <c r="E1" s="4" t="n"/>
      <c r="F1" s="4" t="n"/>
    </row>
    <row r="2" ht="25" customHeight="1">
      <c r="A2" s="29" t="inlineStr">
        <is>
          <t>Review Date:</t>
        </is>
      </c>
      <c r="B2" s="4" t="n"/>
      <c r="C2" s="4" t="n"/>
      <c r="D2" s="4" t="n"/>
      <c r="E2" s="4" t="n"/>
      <c r="F2" s="4" t="n"/>
    </row>
    <row r="3" ht="35" customHeight="1">
      <c r="A3" s="23" t="inlineStr">
        <is>
          <t>Rung 4: The Multiplier   formerly Staff Engineer   $210K–$300K</t>
        </is>
      </c>
      <c r="B3" s="2" t="n"/>
      <c r="C3" s="2" t="n"/>
      <c r="D3" s="2" t="n"/>
      <c r="E3" s="2" t="n"/>
      <c r="F3" s="2" t="n"/>
    </row>
    <row r="4" ht="28" customHeight="1">
      <c r="A4" s="30" t="inlineStr">
        <is>
          <t>Their question: How does the team make better decisions because of you?</t>
        </is>
      </c>
      <c r="B4" s="4" t="n"/>
      <c r="C4" s="4" t="n"/>
      <c r="D4" s="4" t="n"/>
      <c r="E4" s="4" t="n"/>
      <c r="F4" s="4" t="n"/>
    </row>
    <row r="5" ht="35" customHeight="1">
      <c r="A5" s="9" t="inlineStr">
        <is>
          <t>Observable Behavior</t>
        </is>
      </c>
      <c r="B5" s="31" t="inlineStr">
        <is>
          <t>1
Not Yet</t>
        </is>
      </c>
      <c r="C5" s="32" t="inlineStr">
        <is>
          <t>2
Emerging</t>
        </is>
      </c>
      <c r="D5" s="33" t="inlineStr">
        <is>
          <t>3
Consistent</t>
        </is>
      </c>
      <c r="E5" s="34" t="inlineStr">
        <is>
          <t>4
Exemplary</t>
        </is>
      </c>
      <c r="F5" s="9" t="inlineStr">
        <is>
          <t>Manager's Notes</t>
        </is>
      </c>
    </row>
    <row r="6" ht="50" customHeight="1">
      <c r="A6" s="35" t="inlineStr">
        <is>
          <t>Engineers leave their code reviews smarter than when they arrived</t>
        </is>
      </c>
      <c r="B6" s="12" t="n"/>
      <c r="C6" s="12" t="n"/>
      <c r="D6" s="12" t="n"/>
      <c r="E6" s="12" t="n"/>
      <c r="F6" s="35" t="n"/>
    </row>
    <row r="7" ht="50" customHeight="1">
      <c r="A7" s="36" t="inlineStr">
        <is>
          <t>Their standards get adopted without being mandated</t>
        </is>
      </c>
      <c r="B7" s="16" t="n"/>
      <c r="C7" s="16" t="n"/>
      <c r="D7" s="16" t="n"/>
      <c r="E7" s="16" t="n"/>
      <c r="F7" s="36" t="n"/>
    </row>
    <row r="8" ht="50" customHeight="1">
      <c r="A8" s="35" t="inlineStr">
        <is>
          <t>Their departure would be felt across teams, not just their own</t>
        </is>
      </c>
      <c r="B8" s="12" t="n"/>
      <c r="C8" s="12" t="n"/>
      <c r="D8" s="12" t="n"/>
      <c r="E8" s="12" t="n"/>
      <c r="F8" s="35" t="n"/>
    </row>
    <row r="9" ht="50" customHeight="1">
      <c r="A9" s="36" t="inlineStr">
        <is>
          <t>Defines how AI-generated output gets evaluated, trusted, and deployed</t>
        </is>
      </c>
      <c r="B9" s="16" t="n"/>
      <c r="C9" s="16" t="n"/>
      <c r="D9" s="16" t="n"/>
      <c r="E9" s="16" t="n"/>
      <c r="F9" s="36" t="n"/>
    </row>
    <row r="10" ht="50" customHeight="1">
      <c r="A10" s="35" t="inlineStr">
        <is>
          <t>Builds systems that transfer knowledge rather than hoarding it</t>
        </is>
      </c>
      <c r="B10" s="12" t="n"/>
      <c r="C10" s="12" t="n"/>
      <c r="D10" s="12" t="n"/>
      <c r="E10" s="12" t="n"/>
      <c r="F10" s="35" t="n"/>
    </row>
    <row r="11" ht="50" customHeight="1">
      <c r="A11" s="36" t="inlineStr">
        <is>
          <t>Output is the quality of everyone else's judgment, not just features</t>
        </is>
      </c>
      <c r="B11" s="16" t="n"/>
      <c r="C11" s="16" t="n"/>
      <c r="D11" s="16" t="n"/>
      <c r="E11" s="16" t="n"/>
      <c r="F11" s="36" t="n"/>
    </row>
    <row r="12" ht="50" customHeight="1">
      <c r="A12" s="35" t="inlineStr">
        <is>
          <t>Impact compounds beyond their own individual contribution</t>
        </is>
      </c>
      <c r="B12" s="12" t="n"/>
      <c r="C12" s="12" t="n"/>
      <c r="D12" s="12" t="n"/>
      <c r="E12" s="12" t="n"/>
      <c r="F12" s="35" t="n"/>
    </row>
    <row r="13" ht="30" customHeight="1">
      <c r="A13" s="37" t="inlineStr">
        <is>
          <t>TOTAL SCORE</t>
        </is>
      </c>
      <c r="B13" s="19">
        <f>IF(E6&lt;&gt;"",4,IF(D6&lt;&gt;"",3,IF(C6&lt;&gt;"",2,IF(B6&lt;&gt;"",1,0))))+IF(E7&lt;&gt;"",4,IF(D7&lt;&gt;"",3,IF(C7&lt;&gt;"",2,IF(B7&lt;&gt;"",1,0))))+IF(E8&lt;&gt;"",4,IF(D8&lt;&gt;"",3,IF(C8&lt;&gt;"",2,IF(B8&lt;&gt;"",1,0))))+IF(E9&lt;&gt;"",4,IF(D9&lt;&gt;"",3,IF(C9&lt;&gt;"",2,IF(B9&lt;&gt;"",1,0))))+IF(E10&lt;&gt;"",4,IF(D10&lt;&gt;"",3,IF(C10&lt;&gt;"",2,IF(B10&lt;&gt;"",1,0))))+IF(E11&lt;&gt;"",4,IF(D11&lt;&gt;"",3,IF(C11&lt;&gt;"",2,IF(B11&lt;&gt;"",1,0))))+IF(E12&lt;&gt;"",4,IF(D12&lt;&gt;"",3,IF(C12&lt;&gt;"",2,IF(B12&lt;&gt;"",1,0))))</f>
        <v/>
      </c>
      <c r="F13" s="38" t="inlineStr">
        <is>
          <t>out of 28</t>
        </is>
      </c>
    </row>
    <row r="14" ht="25" customHeight="1">
      <c r="A14" s="29" t="inlineStr">
        <is>
          <t>RUNG SCORE %</t>
        </is>
      </c>
      <c r="B14" s="39">
        <f>IF(B13=0,"",B13/28)</f>
        <v/>
      </c>
      <c r="F14" s="8" t="n"/>
    </row>
    <row r="16" ht="45" customHeight="1">
      <c r="A16" s="40" t="inlineStr">
        <is>
          <t>Promotion signal: Has changed how the engineering organization evaluates an entire category of work — not just one team. The bar is voluntary adoption: people follow the standard because it made their work better, not because they were told to.</t>
        </is>
      </c>
      <c r="B16" s="4" t="n"/>
      <c r="C16" s="4" t="n"/>
      <c r="D16" s="4" t="n"/>
      <c r="E16" s="4" t="n"/>
      <c r="F16" s="4" t="n"/>
    </row>
    <row r="17" ht="30" customHeight="1">
      <c r="A17" s="41" t="inlineStr">
        <is>
          <t>Ready to promote?   ☐ Not yet   ☐ On track   ☐ Ready now</t>
        </is>
      </c>
      <c r="B17" s="8" t="n"/>
      <c r="C17" s="8" t="n"/>
      <c r="D17" s="8" t="n"/>
      <c r="E17" s="8" t="n"/>
      <c r="F17" s="8" t="n"/>
    </row>
    <row r="18" ht="80" customHeight="1">
      <c r="A18" s="42" t="inlineStr">
        <is>
          <t>1:1 Notes:</t>
        </is>
      </c>
      <c r="B18" s="43" t="n"/>
      <c r="C18" s="43" t="n"/>
      <c r="D18" s="43" t="n"/>
      <c r="E18" s="43" t="n"/>
      <c r="F18" s="43" t="n"/>
    </row>
  </sheetData>
  <mergeCells count="9">
    <mergeCell ref="A2:F2"/>
    <mergeCell ref="A16:F16"/>
    <mergeCell ref="B13:E13"/>
    <mergeCell ref="A1:F1"/>
    <mergeCell ref="A17:F17"/>
    <mergeCell ref="A18:F18"/>
    <mergeCell ref="A4:F4"/>
    <mergeCell ref="A3:F3"/>
    <mergeCell ref="B14:E1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 ht="30" customHeight="1">
      <c r="A1" s="28" t="inlineStr">
        <is>
          <t>Engineer Name:</t>
        </is>
      </c>
      <c r="B1" s="4" t="n"/>
      <c r="C1" s="4" t="n"/>
      <c r="D1" s="4" t="n"/>
      <c r="E1" s="4" t="n"/>
      <c r="F1" s="4" t="n"/>
    </row>
    <row r="2" ht="25" customHeight="1">
      <c r="A2" s="29" t="inlineStr">
        <is>
          <t>Review Date:</t>
        </is>
      </c>
      <c r="B2" s="4" t="n"/>
      <c r="C2" s="4" t="n"/>
      <c r="D2" s="4" t="n"/>
      <c r="E2" s="4" t="n"/>
      <c r="F2" s="4" t="n"/>
    </row>
    <row r="3" ht="35" customHeight="1">
      <c r="A3" s="23" t="inlineStr">
        <is>
          <t>Rung 5: The Strategist   formerly Principal Engineer   $280K–$450K+</t>
        </is>
      </c>
      <c r="B3" s="2" t="n"/>
      <c r="C3" s="2" t="n"/>
      <c r="D3" s="2" t="n"/>
      <c r="E3" s="2" t="n"/>
      <c r="F3" s="2" t="n"/>
    </row>
    <row r="4" ht="28" customHeight="1">
      <c r="A4" s="30" t="inlineStr">
        <is>
          <t>Their question: Where do we need to be in two years and what does it cost to get there?</t>
        </is>
      </c>
      <c r="B4" s="4" t="n"/>
      <c r="C4" s="4" t="n"/>
      <c r="D4" s="4" t="n"/>
      <c r="E4" s="4" t="n"/>
      <c r="F4" s="4" t="n"/>
    </row>
    <row r="5" ht="35" customHeight="1">
      <c r="A5" s="9" t="inlineStr">
        <is>
          <t>Observable Behavior</t>
        </is>
      </c>
      <c r="B5" s="31" t="inlineStr">
        <is>
          <t>1
Not Yet</t>
        </is>
      </c>
      <c r="C5" s="32" t="inlineStr">
        <is>
          <t>2
Emerging</t>
        </is>
      </c>
      <c r="D5" s="33" t="inlineStr">
        <is>
          <t>3
Consistent</t>
        </is>
      </c>
      <c r="E5" s="34" t="inlineStr">
        <is>
          <t>4
Exemplary</t>
        </is>
      </c>
      <c r="F5" s="9" t="inlineStr">
        <is>
          <t>Manager's Notes</t>
        </is>
      </c>
    </row>
    <row r="6" ht="50" customHeight="1">
      <c r="A6" s="35" t="inlineStr">
        <is>
          <t>In the room for business decisions before technical implications surface</t>
        </is>
      </c>
      <c r="B6" s="12" t="n"/>
      <c r="C6" s="12" t="n"/>
      <c r="D6" s="12" t="n"/>
      <c r="E6" s="12" t="n"/>
      <c r="F6" s="35" t="n"/>
    </row>
    <row r="7" ht="50" customHeight="1">
      <c r="A7" s="36" t="inlineStr">
        <is>
          <t>The CEO treats their input as commercial, not just technical</t>
        </is>
      </c>
      <c r="B7" s="16" t="n"/>
      <c r="C7" s="16" t="n"/>
      <c r="D7" s="16" t="n"/>
      <c r="E7" s="16" t="n"/>
      <c r="F7" s="36" t="n"/>
    </row>
    <row r="8" ht="50" customHeight="1">
      <c r="A8" s="35" t="inlineStr">
        <is>
          <t>Can quantify the cost of standing still</t>
        </is>
      </c>
      <c r="B8" s="12" t="n"/>
      <c r="C8" s="12" t="n"/>
      <c r="D8" s="12" t="n"/>
      <c r="E8" s="12" t="n"/>
      <c r="F8" s="35" t="n"/>
    </row>
    <row r="9" ht="50" customHeight="1">
      <c r="A9" s="36" t="inlineStr">
        <is>
          <t>Build-vs-buy opinions factor in organizational capacity, not just tech preference</t>
        </is>
      </c>
      <c r="B9" s="16" t="n"/>
      <c r="C9" s="16" t="n"/>
      <c r="D9" s="16" t="n"/>
      <c r="E9" s="16" t="n"/>
      <c r="F9" s="36" t="n"/>
    </row>
    <row r="10" ht="50" customHeight="1">
      <c r="A10" s="35" t="inlineStr">
        <is>
          <t>Understands the Engineering Efficiency Ratio and how their decisions move it</t>
        </is>
      </c>
      <c r="B10" s="12" t="n"/>
      <c r="C10" s="12" t="n"/>
      <c r="D10" s="12" t="n"/>
      <c r="E10" s="12" t="n"/>
      <c r="F10" s="35" t="n"/>
    </row>
    <row r="11" ht="50" customHeight="1">
      <c r="A11" s="36" t="inlineStr">
        <is>
          <t>Thinks about business problems before the business knows it has a question</t>
        </is>
      </c>
      <c r="B11" s="16" t="n"/>
      <c r="C11" s="16" t="n"/>
      <c r="D11" s="16" t="n"/>
      <c r="E11" s="16" t="n"/>
      <c r="F11" s="36" t="n"/>
    </row>
    <row r="12" ht="50" customHeight="1">
      <c r="A12" s="35" t="inlineStr">
        <is>
          <t>Can point to decisions they drove that the company still benefits from years later</t>
        </is>
      </c>
      <c r="B12" s="12" t="n"/>
      <c r="C12" s="12" t="n"/>
      <c r="D12" s="12" t="n"/>
      <c r="E12" s="12" t="n"/>
      <c r="F12" s="35" t="n"/>
    </row>
    <row r="13" ht="30" customHeight="1">
      <c r="A13" s="37" t="inlineStr">
        <is>
          <t>TOTAL SCORE</t>
        </is>
      </c>
      <c r="B13" s="19">
        <f>IF(E6&lt;&gt;"",4,IF(D6&lt;&gt;"",3,IF(C6&lt;&gt;"",2,IF(B6&lt;&gt;"",1,0))))+IF(E7&lt;&gt;"",4,IF(D7&lt;&gt;"",3,IF(C7&lt;&gt;"",2,IF(B7&lt;&gt;"",1,0))))+IF(E8&lt;&gt;"",4,IF(D8&lt;&gt;"",3,IF(C8&lt;&gt;"",2,IF(B8&lt;&gt;"",1,0))))+IF(E9&lt;&gt;"",4,IF(D9&lt;&gt;"",3,IF(C9&lt;&gt;"",2,IF(B9&lt;&gt;"",1,0))))+IF(E10&lt;&gt;"",4,IF(D10&lt;&gt;"",3,IF(C10&lt;&gt;"",2,IF(B10&lt;&gt;"",1,0))))+IF(E11&lt;&gt;"",4,IF(D11&lt;&gt;"",3,IF(C11&lt;&gt;"",2,IF(B11&lt;&gt;"",1,0))))+IF(E12&lt;&gt;"",4,IF(D12&lt;&gt;"",3,IF(C12&lt;&gt;"",2,IF(B12&lt;&gt;"",1,0))))</f>
        <v/>
      </c>
      <c r="F13" s="38" t="inlineStr">
        <is>
          <t>out of 28</t>
        </is>
      </c>
    </row>
    <row r="14" ht="25" customHeight="1">
      <c r="A14" s="29" t="inlineStr">
        <is>
          <t>RUNG SCORE %</t>
        </is>
      </c>
      <c r="B14" s="39">
        <f>IF(B13=0,"",B13/28)</f>
        <v/>
      </c>
      <c r="F14" s="8" t="n"/>
    </row>
    <row r="16" ht="45" customHeight="1">
      <c r="A16" s="40" t="inlineStr">
        <is>
          <t>Promotion signal: Can point to two decisions they made that the company is still benefiting from two years later. Not decisions they recommended — decisions they drove.</t>
        </is>
      </c>
      <c r="B16" s="4" t="n"/>
      <c r="C16" s="4" t="n"/>
      <c r="D16" s="4" t="n"/>
      <c r="E16" s="4" t="n"/>
      <c r="F16" s="4" t="n"/>
    </row>
    <row r="17" ht="30" customHeight="1">
      <c r="A17" s="41" t="inlineStr">
        <is>
          <t>Ready to promote?   ☐ Not yet   ☐ On track   ☐ Ready now</t>
        </is>
      </c>
      <c r="B17" s="8" t="n"/>
      <c r="C17" s="8" t="n"/>
      <c r="D17" s="8" t="n"/>
      <c r="E17" s="8" t="n"/>
      <c r="F17" s="8" t="n"/>
    </row>
    <row r="18" ht="80" customHeight="1">
      <c r="A18" s="42" t="inlineStr">
        <is>
          <t>1:1 Notes:</t>
        </is>
      </c>
      <c r="B18" s="43" t="n"/>
      <c r="C18" s="43" t="n"/>
      <c r="D18" s="43" t="n"/>
      <c r="E18" s="43" t="n"/>
      <c r="F18" s="43" t="n"/>
    </row>
  </sheetData>
  <mergeCells count="9">
    <mergeCell ref="A2:F2"/>
    <mergeCell ref="A16:F16"/>
    <mergeCell ref="B13:E13"/>
    <mergeCell ref="A1:F1"/>
    <mergeCell ref="A17:F17"/>
    <mergeCell ref="A18:F18"/>
    <mergeCell ref="A4:F4"/>
    <mergeCell ref="A3:F3"/>
    <mergeCell ref="B14:E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2026-03-15T23:04:21Z</dcterms:created>
  <dcterms:modified xmlns:dcterms="http://purl.org/dc/terms/" xmlns:xsi="http://www.w3.org/2001/XMLSchema-instance" xsi:type="dcterms:W3CDTF">2026-03-15T23:04:21Z</dcterms:modified>
</cp:coreProperties>
</file>